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olivierraven/Documents/Trout_study/Publication/Analysis/data/raw/"/>
    </mc:Choice>
  </mc:AlternateContent>
  <xr:revisionPtr revIDLastSave="0" documentId="13_ncr:1_{C896249A-086D-9E49-B3CA-A720239CCD99}" xr6:coauthVersionLast="47" xr6:coauthVersionMax="47" xr10:uidLastSave="{00000000-0000-0000-0000-000000000000}"/>
  <bookViews>
    <workbookView xWindow="3640" yWindow="500" windowWidth="25160" windowHeight="15820" xr2:uid="{00000000-000D-0000-FFFF-FFFF00000000}"/>
  </bookViews>
  <sheets>
    <sheet name="Data" sheetId="1" r:id="rId1"/>
    <sheet name="Resuts" sheetId="3" r:id="rId2"/>
    <sheet name="NZ YOY trou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" i="2" l="1"/>
  <c r="V16" i="2"/>
  <c r="W16" i="2"/>
  <c r="X16" i="2"/>
  <c r="T16" i="2"/>
  <c r="O16" i="2"/>
  <c r="P16" i="2"/>
  <c r="Q16" i="2"/>
  <c r="R16" i="2"/>
  <c r="N16" i="2"/>
  <c r="I16" i="2"/>
  <c r="J16" i="2"/>
  <c r="K16" i="2"/>
  <c r="L16" i="2"/>
  <c r="H16" i="2"/>
  <c r="C16" i="2"/>
  <c r="D16" i="2"/>
  <c r="E16" i="2"/>
  <c r="F16" i="2"/>
  <c r="B16" i="2"/>
  <c r="X18" i="2" l="1"/>
  <c r="W18" i="2"/>
  <c r="V18" i="2"/>
  <c r="U18" i="2"/>
  <c r="T18" i="2"/>
  <c r="R18" i="2"/>
  <c r="Q18" i="2"/>
  <c r="P18" i="2"/>
  <c r="O18" i="2"/>
  <c r="N18" i="2"/>
  <c r="L18" i="2"/>
  <c r="K18" i="2"/>
  <c r="J18" i="2"/>
  <c r="I18" i="2"/>
  <c r="H18" i="2"/>
  <c r="F18" i="2"/>
  <c r="E18" i="2"/>
  <c r="D18" i="2"/>
  <c r="C18" i="2"/>
  <c r="B18" i="2"/>
  <c r="X17" i="2"/>
  <c r="W17" i="2"/>
  <c r="V17" i="2"/>
  <c r="U17" i="2"/>
  <c r="T17" i="2"/>
  <c r="R17" i="2"/>
  <c r="Q17" i="2"/>
  <c r="P17" i="2"/>
  <c r="O17" i="2"/>
  <c r="N17" i="2"/>
  <c r="L17" i="2"/>
  <c r="K17" i="2"/>
  <c r="J17" i="2"/>
  <c r="I17" i="2"/>
  <c r="H17" i="2"/>
  <c r="F17" i="2"/>
  <c r="E17" i="2"/>
  <c r="D17" i="2"/>
  <c r="C17" i="2"/>
  <c r="B17" i="2"/>
  <c r="X15" i="2"/>
  <c r="W15" i="2"/>
  <c r="V15" i="2"/>
  <c r="U15" i="2"/>
  <c r="T15" i="2"/>
  <c r="R15" i="2"/>
  <c r="Q15" i="2"/>
  <c r="P15" i="2"/>
  <c r="O15" i="2"/>
  <c r="N15" i="2"/>
  <c r="L15" i="2"/>
  <c r="K15" i="2"/>
  <c r="J15" i="2"/>
  <c r="I15" i="2"/>
  <c r="H15" i="2"/>
  <c r="F15" i="2"/>
  <c r="E15" i="2"/>
  <c r="D15" i="2"/>
  <c r="C15" i="2"/>
  <c r="B15" i="2"/>
  <c r="X14" i="2"/>
  <c r="W14" i="2"/>
  <c r="V14" i="2"/>
  <c r="U14" i="2"/>
  <c r="T14" i="2"/>
  <c r="R14" i="2"/>
  <c r="Q14" i="2"/>
  <c r="P14" i="2"/>
  <c r="O14" i="2"/>
  <c r="N14" i="2"/>
  <c r="L14" i="2"/>
  <c r="K14" i="2"/>
  <c r="J14" i="2"/>
  <c r="I14" i="2"/>
  <c r="H14" i="2"/>
  <c r="F14" i="2"/>
  <c r="E14" i="2"/>
  <c r="D14" i="2"/>
  <c r="C14" i="2"/>
  <c r="B14" i="2"/>
</calcChain>
</file>

<file path=xl/sharedStrings.xml><?xml version="1.0" encoding="utf-8"?>
<sst xmlns="http://schemas.openxmlformats.org/spreadsheetml/2006/main" count="162" uniqueCount="55">
  <si>
    <t>Mathisons</t>
  </si>
  <si>
    <t>Sr:Ca</t>
  </si>
  <si>
    <t>Ba:Ca</t>
  </si>
  <si>
    <t>Mn:Ca</t>
  </si>
  <si>
    <t>Mg:Ca</t>
  </si>
  <si>
    <t>87/86Sr</t>
  </si>
  <si>
    <t>Trumbles</t>
  </si>
  <si>
    <t>Kaiwera</t>
  </si>
  <si>
    <t>Waipahi trib A</t>
  </si>
  <si>
    <t>mean</t>
  </si>
  <si>
    <t>sd</t>
  </si>
  <si>
    <t>min</t>
  </si>
  <si>
    <t>max</t>
  </si>
  <si>
    <t>sem</t>
  </si>
  <si>
    <t>ID</t>
  </si>
  <si>
    <t>meanSr88</t>
  </si>
  <si>
    <t>meanMn55</t>
  </si>
  <si>
    <t>meanBa138</t>
  </si>
  <si>
    <t>meanMg24</t>
  </si>
  <si>
    <t>Catch_location</t>
  </si>
  <si>
    <t>11 Waipahi Trib A</t>
  </si>
  <si>
    <t>12 Waipahi Trib A</t>
  </si>
  <si>
    <t>13  Anguilla Burn</t>
  </si>
  <si>
    <t>14 Waipahi Trib A</t>
  </si>
  <si>
    <t>15  Anguilla Burn</t>
  </si>
  <si>
    <t>16 Waipahi Trib A</t>
  </si>
  <si>
    <t>17 Waipahi Trib A</t>
  </si>
  <si>
    <t>18  Anguilla Burn</t>
  </si>
  <si>
    <t>19 Waipahi Trib A</t>
  </si>
  <si>
    <t>20 Waipahi Trib A</t>
  </si>
  <si>
    <t>21 Waipahi Trib A</t>
  </si>
  <si>
    <t>22  Waiwera River</t>
  </si>
  <si>
    <t>23 Waipahi Trib A</t>
  </si>
  <si>
    <t>24 Waipahi Trib A</t>
  </si>
  <si>
    <t>25 Waipahi Trib A</t>
  </si>
  <si>
    <t>26 Waipahi Trib A</t>
  </si>
  <si>
    <t>27  Waiwera River</t>
  </si>
  <si>
    <t>28 Waipahi Trib A</t>
  </si>
  <si>
    <t>29  Waiwera River</t>
  </si>
  <si>
    <t>30 Waipahi Trib A</t>
  </si>
  <si>
    <t>31 Waipahi Trib A</t>
  </si>
  <si>
    <t>32 Waipahi Trib A</t>
  </si>
  <si>
    <t>33 Waipahi Trib A</t>
  </si>
  <si>
    <t>34 Waipahi Trib A</t>
  </si>
  <si>
    <t>35 Waipahi Trib A</t>
  </si>
  <si>
    <t>36 Waipahi Trib A</t>
  </si>
  <si>
    <t>37 Waipahi Trib A</t>
  </si>
  <si>
    <t>38 Waipahi Trib A</t>
  </si>
  <si>
    <t>39 Waipahi Trib A</t>
  </si>
  <si>
    <t>predictions RF</t>
  </si>
  <si>
    <t>Anguilla Burn</t>
  </si>
  <si>
    <t>Waipahi Trib A</t>
  </si>
  <si>
    <t>Waipahi Trib A II</t>
  </si>
  <si>
    <t>Year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</si>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</sst>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/>
    <xf numFmtId="164" fontId="0" fillId="2" borderId="0" xfId="0" applyNumberForma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zoomScale="107" workbookViewId="0">
      <selection activeCell="B1" sqref="B1"/>
    </sheetView>
  </sheetViews>
  <sheetFormatPr baseColWidth="10" defaultColWidth="8.83203125" defaultRowHeight="15" x14ac:dyDescent="0.2"/>
  <cols>
    <col min="2" max="2" width="13.83203125" bestFit="1" customWidth="1"/>
    <col min="4" max="4" width="10.1640625" bestFit="1" customWidth="1"/>
    <col min="5" max="5" width="9.83203125" bestFit="1" customWidth="1"/>
    <col min="6" max="6" width="9.6640625" bestFit="1" customWidth="1"/>
    <col min="8" max="8" width="10.6640625" bestFit="1" customWidth="1"/>
  </cols>
  <sheetData>
    <row r="1" spans="1:10" x14ac:dyDescent="0.2">
      <c r="A1" t="s">
        <v>14</v>
      </c>
      <c r="B1" t="s">
        <v>54</v>
      </c>
      <c r="C1" t="s">
        <v>15</v>
      </c>
      <c r="D1" t="s">
        <v>17</v>
      </c>
      <c r="E1" t="s">
        <v>16</v>
      </c>
      <c r="F1" t="s">
        <v>18</v>
      </c>
      <c r="G1" t="s">
        <v>5</v>
      </c>
      <c r="H1" t="s">
        <v>53</v>
      </c>
    </row>
    <row r="2" spans="1:10" x14ac:dyDescent="0.2">
      <c r="A2">
        <v>132</v>
      </c>
      <c r="B2" t="s">
        <v>0</v>
      </c>
      <c r="C2" s="4">
        <v>1.9502262759089135</v>
      </c>
      <c r="D2" s="4">
        <v>3.5139115841809894E-3</v>
      </c>
      <c r="E2" s="4">
        <v>2.0213881244176581E-2</v>
      </c>
      <c r="F2" s="4">
        <v>0.15118469871351803</v>
      </c>
      <c r="G2" s="5">
        <v>0.70482999999999996</v>
      </c>
      <c r="H2">
        <v>2015</v>
      </c>
      <c r="J2" s="4"/>
    </row>
    <row r="3" spans="1:10" x14ac:dyDescent="0.2">
      <c r="A3">
        <v>131</v>
      </c>
      <c r="B3" t="s">
        <v>0</v>
      </c>
      <c r="C3" s="4">
        <v>1.6334854639054963</v>
      </c>
      <c r="D3" s="4">
        <v>1.8124759428058607E-3</v>
      </c>
      <c r="E3" s="4">
        <v>9.1917683995755874E-3</v>
      </c>
      <c r="F3" s="4">
        <v>9.034146555909868E-2</v>
      </c>
      <c r="G3" s="5">
        <v>0.70494000000000001</v>
      </c>
      <c r="H3">
        <v>2015</v>
      </c>
      <c r="J3" s="4"/>
    </row>
    <row r="4" spans="1:10" x14ac:dyDescent="0.2">
      <c r="A4">
        <v>129</v>
      </c>
      <c r="B4" t="s">
        <v>0</v>
      </c>
      <c r="C4" s="4">
        <v>1.8136514436739635</v>
      </c>
      <c r="D4" s="4">
        <v>2.9607864096005089E-3</v>
      </c>
      <c r="E4" s="4">
        <v>8.766727862147633E-3</v>
      </c>
      <c r="F4" s="4">
        <v>9.3665746292177263E-2</v>
      </c>
      <c r="G4" s="5">
        <v>0.70491999999999999</v>
      </c>
      <c r="H4">
        <v>2015</v>
      </c>
    </row>
    <row r="5" spans="1:10" x14ac:dyDescent="0.2">
      <c r="A5">
        <v>128</v>
      </c>
      <c r="B5" t="s">
        <v>0</v>
      </c>
      <c r="C5" s="4">
        <v>1.7350900456690241</v>
      </c>
      <c r="D5" s="4">
        <v>3.289387264704059E-3</v>
      </c>
      <c r="E5" s="4">
        <v>2.2881482938726501E-2</v>
      </c>
      <c r="F5" s="4">
        <v>9.2729907368663378E-2</v>
      </c>
      <c r="G5" s="5">
        <v>0.70491000000000004</v>
      </c>
      <c r="H5">
        <v>2015</v>
      </c>
    </row>
    <row r="6" spans="1:10" x14ac:dyDescent="0.2">
      <c r="A6">
        <v>126</v>
      </c>
      <c r="B6" t="s">
        <v>0</v>
      </c>
      <c r="C6" s="4">
        <v>1.7747243566174828</v>
      </c>
      <c r="D6" s="4">
        <v>2.8695048311935104E-3</v>
      </c>
      <c r="E6" s="4">
        <v>1.5268807088713428E-2</v>
      </c>
      <c r="F6" s="4">
        <v>9.4367295846143215E-2</v>
      </c>
      <c r="G6" s="5">
        <v>0.70489000000000002</v>
      </c>
      <c r="H6">
        <v>2015</v>
      </c>
    </row>
    <row r="7" spans="1:10" x14ac:dyDescent="0.2">
      <c r="A7" s="6">
        <v>119</v>
      </c>
      <c r="B7" t="s">
        <v>0</v>
      </c>
      <c r="C7" s="4">
        <v>1.8317516351611081</v>
      </c>
      <c r="D7" s="4">
        <v>3.5326596424417509E-3</v>
      </c>
      <c r="E7" s="4">
        <v>1.6701496961485311E-2</v>
      </c>
      <c r="F7" s="4">
        <v>8.7322776941304248E-2</v>
      </c>
      <c r="G7" s="5">
        <v>0.70503000000000005</v>
      </c>
      <c r="H7">
        <v>2015</v>
      </c>
    </row>
    <row r="8" spans="1:10" x14ac:dyDescent="0.2">
      <c r="A8" s="6">
        <v>120</v>
      </c>
      <c r="B8" t="s">
        <v>0</v>
      </c>
      <c r="C8" s="4">
        <v>1.9368278922732531</v>
      </c>
      <c r="D8" s="4">
        <v>3.0082909985054834E-3</v>
      </c>
      <c r="E8" s="4">
        <v>1.0510450582425843E-2</v>
      </c>
      <c r="F8" s="4">
        <v>8.0774360663842679E-2</v>
      </c>
      <c r="G8" s="5">
        <v>0.70481000000000005</v>
      </c>
      <c r="H8">
        <v>2015</v>
      </c>
    </row>
    <row r="9" spans="1:10" x14ac:dyDescent="0.2">
      <c r="A9">
        <v>121</v>
      </c>
      <c r="B9" t="s">
        <v>0</v>
      </c>
      <c r="C9" s="4">
        <v>1.9391145970231509</v>
      </c>
      <c r="D9" s="4">
        <v>2.9230148975113849E-3</v>
      </c>
      <c r="E9" s="4">
        <v>1.4488863025424839E-2</v>
      </c>
      <c r="F9" s="4">
        <v>7.4263228534824546E-2</v>
      </c>
      <c r="G9" s="5">
        <v>0.70496000000000003</v>
      </c>
      <c r="H9">
        <v>2015</v>
      </c>
    </row>
    <row r="10" spans="1:10" x14ac:dyDescent="0.2">
      <c r="A10">
        <v>122</v>
      </c>
      <c r="B10" t="s">
        <v>0</v>
      </c>
      <c r="C10" s="4">
        <v>1.810698808508894</v>
      </c>
      <c r="D10" s="4">
        <v>2.6936586773004126E-3</v>
      </c>
      <c r="E10" s="4">
        <v>1.2336504210518703E-2</v>
      </c>
      <c r="F10" s="4">
        <v>0.11186453403958939</v>
      </c>
      <c r="G10" s="5">
        <v>0.70489999999999997</v>
      </c>
      <c r="H10">
        <v>2015</v>
      </c>
    </row>
    <row r="11" spans="1:10" x14ac:dyDescent="0.2">
      <c r="A11">
        <v>123</v>
      </c>
      <c r="B11" t="s">
        <v>0</v>
      </c>
      <c r="C11" s="4">
        <v>1.8661557411010605</v>
      </c>
      <c r="D11" s="4">
        <v>4.6439175211744517E-3</v>
      </c>
      <c r="E11" s="4">
        <v>4.2890052966052562E-2</v>
      </c>
      <c r="F11" s="4">
        <v>8.6317989917465809E-2</v>
      </c>
      <c r="G11" s="5">
        <v>0.70486000000000004</v>
      </c>
      <c r="H11">
        <v>2015</v>
      </c>
    </row>
    <row r="12" spans="1:10" x14ac:dyDescent="0.2">
      <c r="A12">
        <v>125</v>
      </c>
      <c r="B12" t="s">
        <v>0</v>
      </c>
      <c r="C12" s="4">
        <v>1.9633772744714273</v>
      </c>
      <c r="D12" s="4">
        <v>2.6725899871375856E-3</v>
      </c>
      <c r="E12" s="4">
        <v>9.731611833843766E-3</v>
      </c>
      <c r="F12" s="4">
        <v>8.5442177874592004E-2</v>
      </c>
      <c r="G12" s="5">
        <v>0.70487</v>
      </c>
      <c r="H12">
        <v>2015</v>
      </c>
    </row>
    <row r="13" spans="1:10" x14ac:dyDescent="0.2">
      <c r="A13">
        <v>118</v>
      </c>
      <c r="B13" t="s">
        <v>6</v>
      </c>
      <c r="C13" s="4">
        <v>2.0691907956783542</v>
      </c>
      <c r="D13" s="4">
        <v>2.9470872104795228E-3</v>
      </c>
      <c r="E13" s="4">
        <v>3.1746726225333854E-3</v>
      </c>
      <c r="F13" s="4">
        <v>8.2281130408854902E-2</v>
      </c>
      <c r="G13" s="5">
        <v>0.70476000000000005</v>
      </c>
      <c r="H13">
        <v>2015</v>
      </c>
    </row>
    <row r="14" spans="1:10" x14ac:dyDescent="0.2">
      <c r="A14">
        <v>117</v>
      </c>
      <c r="B14" t="s">
        <v>6</v>
      </c>
      <c r="C14" s="4">
        <v>1.7906156037184731</v>
      </c>
      <c r="D14" s="4">
        <v>4.4969219911409142E-3</v>
      </c>
      <c r="E14" s="4">
        <v>2.7100368172033269E-2</v>
      </c>
      <c r="F14" s="4">
        <v>0.10761295003138395</v>
      </c>
      <c r="G14" s="5">
        <v>0.70496999999999999</v>
      </c>
      <c r="H14">
        <v>2015</v>
      </c>
    </row>
    <row r="15" spans="1:10" x14ac:dyDescent="0.2">
      <c r="A15">
        <v>116</v>
      </c>
      <c r="B15" t="s">
        <v>6</v>
      </c>
      <c r="C15" s="4">
        <v>1.867594295171767</v>
      </c>
      <c r="D15" s="4">
        <v>2.430573772415854E-3</v>
      </c>
      <c r="E15" s="4">
        <v>6.4795191947086767E-3</v>
      </c>
      <c r="F15" s="4">
        <v>0.14150126358308959</v>
      </c>
      <c r="G15" s="5">
        <v>0.70477999999999996</v>
      </c>
      <c r="H15">
        <v>2015</v>
      </c>
    </row>
    <row r="16" spans="1:10" x14ac:dyDescent="0.2">
      <c r="A16">
        <v>115</v>
      </c>
      <c r="B16" t="s">
        <v>6</v>
      </c>
      <c r="C16" s="4">
        <v>1.8567706947089262</v>
      </c>
      <c r="D16" s="4">
        <v>3.9724594324958614E-3</v>
      </c>
      <c r="E16" s="4">
        <v>2.485628009252602E-2</v>
      </c>
      <c r="F16" s="4">
        <v>0.14105116176661242</v>
      </c>
      <c r="G16" s="5">
        <v>0.70492999999999995</v>
      </c>
      <c r="H16">
        <v>2015</v>
      </c>
    </row>
    <row r="17" spans="1:8" x14ac:dyDescent="0.2">
      <c r="A17">
        <v>109</v>
      </c>
      <c r="B17" t="s">
        <v>6</v>
      </c>
      <c r="C17" s="4">
        <v>2.0453971498871248</v>
      </c>
      <c r="D17" s="4">
        <v>2.3982486799529155E-3</v>
      </c>
      <c r="E17" s="4">
        <v>5.8015827847605391E-3</v>
      </c>
      <c r="F17" s="4">
        <v>8.687165525709091E-2</v>
      </c>
      <c r="G17" s="5">
        <v>0.70479999999999998</v>
      </c>
      <c r="H17">
        <v>2015</v>
      </c>
    </row>
    <row r="18" spans="1:8" x14ac:dyDescent="0.2">
      <c r="A18">
        <v>110</v>
      </c>
      <c r="B18" t="s">
        <v>6</v>
      </c>
      <c r="C18" s="4">
        <v>1.9761067508172727</v>
      </c>
      <c r="D18" s="4">
        <v>3.501238974317583E-3</v>
      </c>
      <c r="E18" s="4">
        <v>9.2859699180962377E-3</v>
      </c>
      <c r="F18" s="4">
        <v>8.2748027436621754E-2</v>
      </c>
      <c r="G18" s="5">
        <v>0.70470999999999995</v>
      </c>
      <c r="H18">
        <v>2015</v>
      </c>
    </row>
    <row r="19" spans="1:8" x14ac:dyDescent="0.2">
      <c r="A19">
        <v>111</v>
      </c>
      <c r="B19" t="s">
        <v>6</v>
      </c>
      <c r="C19" s="4">
        <v>1.9115735365971502</v>
      </c>
      <c r="D19" s="4">
        <v>4.4148561149823986E-3</v>
      </c>
      <c r="E19" s="4">
        <v>1.7413524527642565E-2</v>
      </c>
      <c r="F19" s="4">
        <v>8.530648457457414E-2</v>
      </c>
      <c r="G19" s="5">
        <v>0.70491000000000004</v>
      </c>
      <c r="H19">
        <v>2015</v>
      </c>
    </row>
    <row r="20" spans="1:8" x14ac:dyDescent="0.2">
      <c r="A20">
        <v>112</v>
      </c>
      <c r="B20" t="s">
        <v>6</v>
      </c>
      <c r="C20" s="4">
        <v>1.7841488373020118</v>
      </c>
      <c r="D20" s="4">
        <v>2.7387879788849561E-3</v>
      </c>
      <c r="E20" s="4">
        <v>1.3562407028099622E-2</v>
      </c>
      <c r="F20" s="4">
        <v>7.8118196238688542E-2</v>
      </c>
      <c r="G20" s="5">
        <v>0.70482999999999996</v>
      </c>
      <c r="H20">
        <v>2015</v>
      </c>
    </row>
    <row r="21" spans="1:8" x14ac:dyDescent="0.2">
      <c r="A21">
        <v>113</v>
      </c>
      <c r="B21" t="s">
        <v>6</v>
      </c>
      <c r="C21" s="4">
        <v>1.9989670735418961</v>
      </c>
      <c r="D21" s="4">
        <v>2.4046561434459867E-3</v>
      </c>
      <c r="E21" s="4">
        <v>6.3649355434005047E-3</v>
      </c>
      <c r="F21" s="4">
        <v>8.1164854923117313E-2</v>
      </c>
      <c r="G21" s="5">
        <v>0.70472000000000001</v>
      </c>
      <c r="H21">
        <v>2015</v>
      </c>
    </row>
    <row r="22" spans="1:8" x14ac:dyDescent="0.2">
      <c r="A22">
        <v>114</v>
      </c>
      <c r="B22" t="s">
        <v>6</v>
      </c>
      <c r="C22" s="4">
        <v>1.9644871732896756</v>
      </c>
      <c r="D22" s="4">
        <v>2.2522366498052434E-3</v>
      </c>
      <c r="E22" s="4">
        <v>6.5129054168927038E-3</v>
      </c>
      <c r="F22" s="4">
        <v>7.0973101985284129E-2</v>
      </c>
      <c r="G22" s="5">
        <v>0.70477000000000001</v>
      </c>
      <c r="H22">
        <v>2015</v>
      </c>
    </row>
    <row r="23" spans="1:8" x14ac:dyDescent="0.2">
      <c r="A23">
        <v>108</v>
      </c>
      <c r="B23" t="s">
        <v>7</v>
      </c>
      <c r="C23" s="4">
        <v>2.2736136866272725</v>
      </c>
      <c r="D23" s="4">
        <v>3.6792329940722374E-3</v>
      </c>
      <c r="E23" s="4">
        <v>5.1917941519446084E-3</v>
      </c>
      <c r="F23" s="4">
        <v>9.2138027821981605E-2</v>
      </c>
      <c r="G23" s="5">
        <v>0.70460999999999996</v>
      </c>
      <c r="H23">
        <v>2015</v>
      </c>
    </row>
    <row r="24" spans="1:8" x14ac:dyDescent="0.2">
      <c r="A24">
        <v>107</v>
      </c>
      <c r="B24" t="s">
        <v>7</v>
      </c>
      <c r="C24" s="4">
        <v>2.0481746964641183</v>
      </c>
      <c r="D24" s="4">
        <v>3.3932674854288999E-3</v>
      </c>
      <c r="E24" s="4">
        <v>3.1043287566270201E-3</v>
      </c>
      <c r="F24" s="4">
        <v>9.5342050804641892E-2</v>
      </c>
      <c r="G24" s="5">
        <v>0.70452999999999999</v>
      </c>
      <c r="H24">
        <v>2015</v>
      </c>
    </row>
    <row r="25" spans="1:8" x14ac:dyDescent="0.2">
      <c r="A25">
        <v>106</v>
      </c>
      <c r="B25" t="s">
        <v>7</v>
      </c>
      <c r="C25" s="4">
        <v>1.9610644446810759</v>
      </c>
      <c r="D25" s="4">
        <v>3.0756267797883447E-3</v>
      </c>
      <c r="E25" s="4">
        <v>3.8742291288182016E-3</v>
      </c>
      <c r="F25" s="4">
        <v>7.7898116881144383E-2</v>
      </c>
      <c r="G25" s="5">
        <v>0.7046</v>
      </c>
      <c r="H25">
        <v>2015</v>
      </c>
    </row>
    <row r="26" spans="1:8" x14ac:dyDescent="0.2">
      <c r="A26">
        <v>100</v>
      </c>
      <c r="B26" t="s">
        <v>7</v>
      </c>
      <c r="C26" s="4">
        <v>1.9236781468368001</v>
      </c>
      <c r="D26" s="4">
        <v>2.8695990801825022E-3</v>
      </c>
      <c r="E26" s="4">
        <v>7.458284826149862E-3</v>
      </c>
      <c r="F26" s="4">
        <v>0.10007935261739725</v>
      </c>
      <c r="G26" s="5">
        <v>0.70448</v>
      </c>
      <c r="H26">
        <v>2015</v>
      </c>
    </row>
    <row r="27" spans="1:8" x14ac:dyDescent="0.2">
      <c r="A27">
        <v>101</v>
      </c>
      <c r="B27" t="s">
        <v>7</v>
      </c>
      <c r="C27" s="4">
        <v>1.7840510410972186</v>
      </c>
      <c r="D27" s="4">
        <v>2.9398278388467988E-3</v>
      </c>
      <c r="E27" s="4">
        <v>8.2793941881407953E-3</v>
      </c>
      <c r="F27" s="4">
        <v>8.5700884215510642E-2</v>
      </c>
      <c r="G27" s="5">
        <v>0.70457999999999998</v>
      </c>
      <c r="H27">
        <v>2015</v>
      </c>
    </row>
    <row r="28" spans="1:8" x14ac:dyDescent="0.2">
      <c r="A28">
        <v>102</v>
      </c>
      <c r="B28" t="s">
        <v>7</v>
      </c>
      <c r="C28" s="4">
        <v>2.4526957730289132</v>
      </c>
      <c r="D28" s="4">
        <v>3.5752256887223639E-3</v>
      </c>
      <c r="E28" s="4">
        <v>4.4334569747764225E-3</v>
      </c>
      <c r="F28" s="4">
        <v>0.11239822971276477</v>
      </c>
      <c r="G28" s="5">
        <v>0.7046</v>
      </c>
      <c r="H28">
        <v>2015</v>
      </c>
    </row>
    <row r="29" spans="1:8" x14ac:dyDescent="0.2">
      <c r="A29">
        <v>103</v>
      </c>
      <c r="B29" t="s">
        <v>7</v>
      </c>
      <c r="C29" s="4">
        <v>1.9509068009595738</v>
      </c>
      <c r="D29" s="4">
        <v>3.1402754036627869E-3</v>
      </c>
      <c r="E29" s="4">
        <v>3.7665045667160499E-3</v>
      </c>
      <c r="F29" s="4">
        <v>9.4668670152951592E-2</v>
      </c>
      <c r="G29" s="5">
        <v>0.70448999999999995</v>
      </c>
      <c r="H29">
        <v>2015</v>
      </c>
    </row>
    <row r="30" spans="1:8" x14ac:dyDescent="0.2">
      <c r="A30">
        <v>104</v>
      </c>
      <c r="B30" t="s">
        <v>7</v>
      </c>
      <c r="C30" s="4">
        <v>2.431644066873393</v>
      </c>
      <c r="D30" s="4">
        <v>3.6959474761459939E-3</v>
      </c>
      <c r="E30" s="4">
        <v>5.2361383398102429E-3</v>
      </c>
      <c r="F30" s="4">
        <v>7.8497138655633014E-2</v>
      </c>
      <c r="G30" s="5">
        <v>0.70457999999999998</v>
      </c>
      <c r="H30">
        <v>2015</v>
      </c>
    </row>
    <row r="31" spans="1:8" x14ac:dyDescent="0.2">
      <c r="A31">
        <v>105</v>
      </c>
      <c r="B31" t="s">
        <v>7</v>
      </c>
      <c r="C31" s="4">
        <v>2.3152945291996407</v>
      </c>
      <c r="D31" s="4">
        <v>2.9769885316378803E-3</v>
      </c>
      <c r="E31" s="4">
        <v>3.6950949899293311E-3</v>
      </c>
      <c r="F31" s="4">
        <v>8.4816987263885188E-2</v>
      </c>
      <c r="G31" s="5">
        <v>0.70457999999999998</v>
      </c>
      <c r="H31">
        <v>2015</v>
      </c>
    </row>
    <row r="32" spans="1:8" x14ac:dyDescent="0.2">
      <c r="A32">
        <v>99</v>
      </c>
      <c r="B32" t="s">
        <v>52</v>
      </c>
      <c r="C32" s="4">
        <v>1.7416687669119024</v>
      </c>
      <c r="D32" s="4">
        <v>3.126383620827667E-3</v>
      </c>
      <c r="E32" s="4">
        <v>1.1631257735499228E-2</v>
      </c>
      <c r="F32" s="4">
        <v>0.24781625167501017</v>
      </c>
      <c r="G32" s="5">
        <v>0.70504999999999995</v>
      </c>
      <c r="H32">
        <v>2015</v>
      </c>
    </row>
    <row r="33" spans="1:8" x14ac:dyDescent="0.2">
      <c r="A33">
        <v>98</v>
      </c>
      <c r="B33" t="s">
        <v>52</v>
      </c>
      <c r="C33" s="4">
        <v>1.9946740799114853</v>
      </c>
      <c r="D33" s="4">
        <v>2.6265106991109895E-3</v>
      </c>
      <c r="E33" s="4">
        <v>1.1602742673098743E-2</v>
      </c>
      <c r="F33" s="4">
        <v>9.5715124291790563E-2</v>
      </c>
      <c r="G33" s="5">
        <v>0.70494999999999997</v>
      </c>
      <c r="H33">
        <v>2015</v>
      </c>
    </row>
    <row r="34" spans="1:8" x14ac:dyDescent="0.2">
      <c r="A34">
        <v>91</v>
      </c>
      <c r="B34" t="s">
        <v>52</v>
      </c>
      <c r="C34" s="4">
        <v>1.8287747497926161</v>
      </c>
      <c r="D34" s="4">
        <v>2.8588679645473636E-3</v>
      </c>
      <c r="E34" s="4">
        <v>1.1808119561038692E-2</v>
      </c>
      <c r="F34" s="4">
        <v>0.1269654060367251</v>
      </c>
      <c r="G34" s="5">
        <v>0.70498000000000005</v>
      </c>
      <c r="H34">
        <v>2015</v>
      </c>
    </row>
    <row r="35" spans="1:8" x14ac:dyDescent="0.2">
      <c r="A35">
        <v>92</v>
      </c>
      <c r="B35" t="s">
        <v>52</v>
      </c>
      <c r="C35" s="4">
        <v>1.8977799279765339</v>
      </c>
      <c r="D35" s="4">
        <v>2.9489553629730094E-3</v>
      </c>
      <c r="E35" s="4">
        <v>1.2770981793213815E-2</v>
      </c>
      <c r="F35" s="4">
        <v>8.4363978587799884E-2</v>
      </c>
      <c r="G35" s="5">
        <v>0.70492999999999995</v>
      </c>
      <c r="H35">
        <v>2015</v>
      </c>
    </row>
    <row r="36" spans="1:8" x14ac:dyDescent="0.2">
      <c r="A36">
        <v>93</v>
      </c>
      <c r="B36" t="s">
        <v>52</v>
      </c>
      <c r="C36" s="4">
        <v>2.1394988805288278</v>
      </c>
      <c r="D36" s="4">
        <v>2.8944053796969315E-3</v>
      </c>
      <c r="E36" s="4">
        <v>8.2286528669273818E-3</v>
      </c>
      <c r="F36" s="4">
        <v>0.10191308854453032</v>
      </c>
      <c r="G36" s="5">
        <v>0.70496000000000003</v>
      </c>
      <c r="H36">
        <v>2015</v>
      </c>
    </row>
    <row r="37" spans="1:8" x14ac:dyDescent="0.2">
      <c r="A37">
        <v>94</v>
      </c>
      <c r="B37" t="s">
        <v>52</v>
      </c>
      <c r="C37" s="4">
        <v>2.0581918522896676</v>
      </c>
      <c r="D37" s="4">
        <v>2.4371630778365363E-3</v>
      </c>
      <c r="E37" s="4">
        <v>1.6713430509720247E-2</v>
      </c>
      <c r="F37" s="4">
        <v>7.7476184975013046E-2</v>
      </c>
      <c r="G37" s="5">
        <v>0.70498000000000005</v>
      </c>
      <c r="H37">
        <v>2015</v>
      </c>
    </row>
    <row r="38" spans="1:8" x14ac:dyDescent="0.2">
      <c r="A38">
        <v>95</v>
      </c>
      <c r="B38" t="s">
        <v>52</v>
      </c>
      <c r="C38" s="4">
        <v>1.8186853710859148</v>
      </c>
      <c r="D38" s="4">
        <v>2.1257717025769769E-3</v>
      </c>
      <c r="E38" s="4">
        <v>1.6708996805196635E-2</v>
      </c>
      <c r="F38" s="4">
        <v>8.4138168656980525E-2</v>
      </c>
      <c r="G38" s="5">
        <v>0.70498000000000005</v>
      </c>
      <c r="H38">
        <v>2015</v>
      </c>
    </row>
    <row r="39" spans="1:8" x14ac:dyDescent="0.2">
      <c r="A39">
        <v>96</v>
      </c>
      <c r="B39" t="s">
        <v>52</v>
      </c>
      <c r="C39" s="4">
        <v>2.0790689388680312</v>
      </c>
      <c r="D39" s="4">
        <v>3.0530444490365714E-3</v>
      </c>
      <c r="E39" s="4">
        <v>1.0401565063211674E-2</v>
      </c>
      <c r="F39" s="4">
        <v>0.10338074937029765</v>
      </c>
      <c r="G39" s="5">
        <v>0.70494999999999997</v>
      </c>
      <c r="H39">
        <v>2015</v>
      </c>
    </row>
    <row r="40" spans="1:8" x14ac:dyDescent="0.2">
      <c r="A40">
        <v>97</v>
      </c>
      <c r="B40" t="s">
        <v>52</v>
      </c>
      <c r="C40" s="4">
        <v>1.9380611287539344</v>
      </c>
      <c r="D40" s="4">
        <v>2.1213744158596008E-3</v>
      </c>
      <c r="E40" s="4">
        <v>1.3001683462121777E-2</v>
      </c>
      <c r="F40" s="4">
        <v>7.418875701359974E-2</v>
      </c>
      <c r="G40" s="5">
        <v>0.70498000000000005</v>
      </c>
      <c r="H40">
        <v>2015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C04B-6F42-D249-81D8-21184F1C2154}">
  <dimension ref="A1:I40"/>
  <sheetViews>
    <sheetView workbookViewId="0">
      <selection activeCell="J17" sqref="J17"/>
    </sheetView>
  </sheetViews>
  <sheetFormatPr baseColWidth="10" defaultRowHeight="15" x14ac:dyDescent="0.2"/>
  <cols>
    <col min="4" max="4" width="12.6640625" bestFit="1" customWidth="1"/>
  </cols>
  <sheetData>
    <row r="1" spans="1:9" x14ac:dyDescent="0.2">
      <c r="A1" t="s">
        <v>49</v>
      </c>
      <c r="C1" t="s">
        <v>14</v>
      </c>
      <c r="D1" t="s">
        <v>19</v>
      </c>
      <c r="E1" t="s">
        <v>15</v>
      </c>
      <c r="F1" t="s">
        <v>17</v>
      </c>
      <c r="G1" t="s">
        <v>16</v>
      </c>
      <c r="H1" t="s">
        <v>18</v>
      </c>
      <c r="I1" t="s">
        <v>5</v>
      </c>
    </row>
    <row r="2" spans="1:9" x14ac:dyDescent="0.2">
      <c r="A2" t="s">
        <v>50</v>
      </c>
      <c r="C2">
        <v>132</v>
      </c>
      <c r="D2" t="s">
        <v>0</v>
      </c>
      <c r="E2" s="4">
        <v>1.9502262759089135</v>
      </c>
      <c r="F2" s="4">
        <v>3.5139115841809894E-3</v>
      </c>
      <c r="G2" s="4">
        <v>2.0213881244176581E-2</v>
      </c>
      <c r="H2" s="4">
        <v>0.15118469871351803</v>
      </c>
      <c r="I2" s="5">
        <v>0.70482999999999996</v>
      </c>
    </row>
    <row r="3" spans="1:9" x14ac:dyDescent="0.2">
      <c r="A3" t="s">
        <v>51</v>
      </c>
      <c r="C3">
        <v>131</v>
      </c>
      <c r="D3" t="s">
        <v>0</v>
      </c>
      <c r="E3" s="4">
        <v>1.6334854639054963</v>
      </c>
      <c r="F3" s="4">
        <v>1.8124759428058607E-3</v>
      </c>
      <c r="G3" s="4">
        <v>9.1917683995755874E-3</v>
      </c>
      <c r="H3" s="4">
        <v>9.034146555909868E-2</v>
      </c>
      <c r="I3" s="5">
        <v>0.70494000000000001</v>
      </c>
    </row>
    <row r="4" spans="1:9" x14ac:dyDescent="0.2">
      <c r="A4" t="s">
        <v>51</v>
      </c>
      <c r="C4">
        <v>129</v>
      </c>
      <c r="D4" t="s">
        <v>0</v>
      </c>
      <c r="E4" s="4">
        <v>1.8136514436739635</v>
      </c>
      <c r="F4" s="4">
        <v>2.9607864096005089E-3</v>
      </c>
      <c r="G4" s="4">
        <v>8.766727862147633E-3</v>
      </c>
      <c r="H4" s="4">
        <v>9.3665746292177263E-2</v>
      </c>
      <c r="I4" s="5">
        <v>0.70491999999999999</v>
      </c>
    </row>
    <row r="5" spans="1:9" x14ac:dyDescent="0.2">
      <c r="A5" t="s">
        <v>50</v>
      </c>
      <c r="C5">
        <v>128</v>
      </c>
      <c r="D5" t="s">
        <v>0</v>
      </c>
      <c r="E5" s="4">
        <v>1.7350900456690241</v>
      </c>
      <c r="F5" s="4">
        <v>3.289387264704059E-3</v>
      </c>
      <c r="G5" s="4">
        <v>2.2881482938726501E-2</v>
      </c>
      <c r="H5" s="4">
        <v>9.2729907368663378E-2</v>
      </c>
      <c r="I5" s="5">
        <v>0.70491000000000004</v>
      </c>
    </row>
    <row r="6" spans="1:9" x14ac:dyDescent="0.2">
      <c r="A6" t="s">
        <v>51</v>
      </c>
      <c r="C6">
        <v>126</v>
      </c>
      <c r="D6" t="s">
        <v>0</v>
      </c>
      <c r="E6" s="4">
        <v>1.7747243566174828</v>
      </c>
      <c r="F6" s="4">
        <v>2.8695048311935104E-3</v>
      </c>
      <c r="G6" s="4">
        <v>1.5268807088713428E-2</v>
      </c>
      <c r="H6" s="4">
        <v>9.4367295846143215E-2</v>
      </c>
      <c r="I6" s="5">
        <v>0.70489000000000002</v>
      </c>
    </row>
    <row r="7" spans="1:9" x14ac:dyDescent="0.2">
      <c r="A7" t="s">
        <v>51</v>
      </c>
      <c r="C7" s="6">
        <v>119</v>
      </c>
      <c r="D7" t="s">
        <v>0</v>
      </c>
      <c r="E7" s="4">
        <v>1.8317516351611081</v>
      </c>
      <c r="F7" s="4">
        <v>3.5326596424417509E-3</v>
      </c>
      <c r="G7" s="4">
        <v>1.6701496961485311E-2</v>
      </c>
      <c r="H7" s="4">
        <v>8.7322776941304248E-2</v>
      </c>
      <c r="I7" s="5">
        <v>0.70503000000000005</v>
      </c>
    </row>
    <row r="8" spans="1:9" x14ac:dyDescent="0.2">
      <c r="A8" t="s">
        <v>51</v>
      </c>
      <c r="C8" s="6">
        <v>120</v>
      </c>
      <c r="D8" t="s">
        <v>0</v>
      </c>
      <c r="E8" s="4">
        <v>1.9368278922732531</v>
      </c>
      <c r="F8" s="4">
        <v>3.0082909985054834E-3</v>
      </c>
      <c r="G8" s="4">
        <v>1.0510450582425843E-2</v>
      </c>
      <c r="H8" s="4">
        <v>8.0774360663842679E-2</v>
      </c>
      <c r="I8" s="5">
        <v>0.70481000000000005</v>
      </c>
    </row>
    <row r="9" spans="1:9" x14ac:dyDescent="0.2">
      <c r="A9" t="s">
        <v>51</v>
      </c>
      <c r="C9">
        <v>121</v>
      </c>
      <c r="D9" t="s">
        <v>0</v>
      </c>
      <c r="E9" s="4">
        <v>1.9391145970231509</v>
      </c>
      <c r="F9" s="4">
        <v>2.9230148975113849E-3</v>
      </c>
      <c r="G9" s="4">
        <v>1.4488863025424839E-2</v>
      </c>
      <c r="H9" s="4">
        <v>7.4263228534824546E-2</v>
      </c>
      <c r="I9" s="5">
        <v>0.70496000000000003</v>
      </c>
    </row>
    <row r="10" spans="1:9" x14ac:dyDescent="0.2">
      <c r="A10" t="s">
        <v>51</v>
      </c>
      <c r="C10">
        <v>122</v>
      </c>
      <c r="D10" t="s">
        <v>0</v>
      </c>
      <c r="E10" s="4">
        <v>1.810698808508894</v>
      </c>
      <c r="F10" s="4">
        <v>2.6936586773004126E-3</v>
      </c>
      <c r="G10" s="4">
        <v>1.2336504210518703E-2</v>
      </c>
      <c r="H10" s="4">
        <v>0.11186453403958939</v>
      </c>
      <c r="I10" s="5">
        <v>0.70489999999999997</v>
      </c>
    </row>
    <row r="11" spans="1:9" x14ac:dyDescent="0.2">
      <c r="A11" t="s">
        <v>50</v>
      </c>
      <c r="C11">
        <v>123</v>
      </c>
      <c r="D11" t="s">
        <v>0</v>
      </c>
      <c r="E11" s="4">
        <v>1.8661557411010605</v>
      </c>
      <c r="F11" s="4">
        <v>4.6439175211744517E-3</v>
      </c>
      <c r="G11" s="4">
        <v>4.2890052966052562E-2</v>
      </c>
      <c r="H11" s="4">
        <v>8.6317989917465809E-2</v>
      </c>
      <c r="I11" s="5">
        <v>0.70486000000000004</v>
      </c>
    </row>
    <row r="12" spans="1:9" x14ac:dyDescent="0.2">
      <c r="A12" t="s">
        <v>20</v>
      </c>
      <c r="C12">
        <v>125</v>
      </c>
      <c r="D12" t="s">
        <v>0</v>
      </c>
      <c r="E12" s="4">
        <v>1.9633772744714273</v>
      </c>
      <c r="F12" s="4">
        <v>2.6725899871375856E-3</v>
      </c>
      <c r="G12" s="4">
        <v>9.731611833843766E-3</v>
      </c>
      <c r="H12" s="4">
        <v>8.5442177874592004E-2</v>
      </c>
      <c r="I12" s="5">
        <v>0.70487</v>
      </c>
    </row>
    <row r="13" spans="1:9" x14ac:dyDescent="0.2">
      <c r="A13" t="s">
        <v>21</v>
      </c>
      <c r="C13">
        <v>118</v>
      </c>
      <c r="D13" t="s">
        <v>6</v>
      </c>
      <c r="E13" s="4">
        <v>2.0691907956783542</v>
      </c>
      <c r="F13" s="4">
        <v>2.9470872104795228E-3</v>
      </c>
      <c r="G13" s="4">
        <v>3.1746726225333854E-3</v>
      </c>
      <c r="H13" s="4">
        <v>8.2281130408854902E-2</v>
      </c>
      <c r="I13" s="5">
        <v>0.70476000000000005</v>
      </c>
    </row>
    <row r="14" spans="1:9" x14ac:dyDescent="0.2">
      <c r="A14" t="s">
        <v>22</v>
      </c>
      <c r="C14">
        <v>117</v>
      </c>
      <c r="D14" t="s">
        <v>6</v>
      </c>
      <c r="E14" s="4">
        <v>1.7906156037184731</v>
      </c>
      <c r="F14" s="4">
        <v>4.4969219911409142E-3</v>
      </c>
      <c r="G14" s="4">
        <v>2.7100368172033269E-2</v>
      </c>
      <c r="H14" s="4">
        <v>0.10761295003138395</v>
      </c>
      <c r="I14" s="5">
        <v>0.70496999999999999</v>
      </c>
    </row>
    <row r="15" spans="1:9" x14ac:dyDescent="0.2">
      <c r="A15" t="s">
        <v>23</v>
      </c>
      <c r="C15">
        <v>116</v>
      </c>
      <c r="D15" t="s">
        <v>6</v>
      </c>
      <c r="E15" s="4">
        <v>1.867594295171767</v>
      </c>
      <c r="F15" s="4">
        <v>2.430573772415854E-3</v>
      </c>
      <c r="G15" s="4">
        <v>6.4795191947086767E-3</v>
      </c>
      <c r="H15" s="4">
        <v>0.14150126358308959</v>
      </c>
      <c r="I15" s="5">
        <v>0.70477999999999996</v>
      </c>
    </row>
    <row r="16" spans="1:9" x14ac:dyDescent="0.2">
      <c r="A16" t="s">
        <v>24</v>
      </c>
      <c r="C16">
        <v>115</v>
      </c>
      <c r="D16" t="s">
        <v>6</v>
      </c>
      <c r="E16" s="4">
        <v>1.8567706947089262</v>
      </c>
      <c r="F16" s="4">
        <v>3.9724594324958614E-3</v>
      </c>
      <c r="G16" s="4">
        <v>2.485628009252602E-2</v>
      </c>
      <c r="H16" s="4">
        <v>0.14105116176661242</v>
      </c>
      <c r="I16" s="5">
        <v>0.70492999999999995</v>
      </c>
    </row>
    <row r="17" spans="1:9" x14ac:dyDescent="0.2">
      <c r="A17" t="s">
        <v>25</v>
      </c>
      <c r="C17">
        <v>109</v>
      </c>
      <c r="D17" t="s">
        <v>6</v>
      </c>
      <c r="E17" s="4">
        <v>2.0453971498871248</v>
      </c>
      <c r="F17" s="4">
        <v>2.3982486799529155E-3</v>
      </c>
      <c r="G17" s="4">
        <v>5.8015827847605391E-3</v>
      </c>
      <c r="H17" s="4">
        <v>8.687165525709091E-2</v>
      </c>
      <c r="I17" s="5">
        <v>0.70479999999999998</v>
      </c>
    </row>
    <row r="18" spans="1:9" x14ac:dyDescent="0.2">
      <c r="A18" t="s">
        <v>26</v>
      </c>
      <c r="C18">
        <v>110</v>
      </c>
      <c r="D18" t="s">
        <v>6</v>
      </c>
      <c r="E18" s="4">
        <v>1.9761067508172727</v>
      </c>
      <c r="F18" s="4">
        <v>3.501238974317583E-3</v>
      </c>
      <c r="G18" s="4">
        <v>9.2859699180962377E-3</v>
      </c>
      <c r="H18" s="4">
        <v>8.2748027436621754E-2</v>
      </c>
      <c r="I18" s="5">
        <v>0.70470999999999995</v>
      </c>
    </row>
    <row r="19" spans="1:9" x14ac:dyDescent="0.2">
      <c r="A19" t="s">
        <v>27</v>
      </c>
      <c r="C19">
        <v>111</v>
      </c>
      <c r="D19" t="s">
        <v>6</v>
      </c>
      <c r="E19" s="4">
        <v>1.9115735365971502</v>
      </c>
      <c r="F19" s="4">
        <v>4.4148561149823986E-3</v>
      </c>
      <c r="G19" s="4">
        <v>1.7413524527642565E-2</v>
      </c>
      <c r="H19" s="4">
        <v>8.530648457457414E-2</v>
      </c>
      <c r="I19" s="5">
        <v>0.70491000000000004</v>
      </c>
    </row>
    <row r="20" spans="1:9" x14ac:dyDescent="0.2">
      <c r="A20" t="s">
        <v>28</v>
      </c>
      <c r="C20">
        <v>112</v>
      </c>
      <c r="D20" t="s">
        <v>6</v>
      </c>
      <c r="E20" s="4">
        <v>1.7841488373020118</v>
      </c>
      <c r="F20" s="4">
        <v>2.7387879788849561E-3</v>
      </c>
      <c r="G20" s="4">
        <v>1.3562407028099622E-2</v>
      </c>
      <c r="H20" s="4">
        <v>7.8118196238688542E-2</v>
      </c>
      <c r="I20" s="5">
        <v>0.70482999999999996</v>
      </c>
    </row>
    <row r="21" spans="1:9" x14ac:dyDescent="0.2">
      <c r="A21" t="s">
        <v>29</v>
      </c>
      <c r="C21">
        <v>113</v>
      </c>
      <c r="D21" t="s">
        <v>6</v>
      </c>
      <c r="E21" s="4">
        <v>1.9989670735418961</v>
      </c>
      <c r="F21" s="4">
        <v>2.4046561434459867E-3</v>
      </c>
      <c r="G21" s="4">
        <v>6.3649355434005047E-3</v>
      </c>
      <c r="H21" s="4">
        <v>8.1164854923117313E-2</v>
      </c>
      <c r="I21" s="5">
        <v>0.70472000000000001</v>
      </c>
    </row>
    <row r="22" spans="1:9" x14ac:dyDescent="0.2">
      <c r="A22" t="s">
        <v>30</v>
      </c>
      <c r="C22">
        <v>114</v>
      </c>
      <c r="D22" t="s">
        <v>6</v>
      </c>
      <c r="E22" s="4">
        <v>1.9644871732896756</v>
      </c>
      <c r="F22" s="4">
        <v>2.2522366498052434E-3</v>
      </c>
      <c r="G22" s="4">
        <v>6.5129054168927038E-3</v>
      </c>
      <c r="H22" s="4">
        <v>7.0973101985284129E-2</v>
      </c>
      <c r="I22" s="5">
        <v>0.70477000000000001</v>
      </c>
    </row>
    <row r="23" spans="1:9" x14ac:dyDescent="0.2">
      <c r="A23" t="s">
        <v>31</v>
      </c>
      <c r="C23">
        <v>108</v>
      </c>
      <c r="D23" t="s">
        <v>7</v>
      </c>
      <c r="E23" s="4">
        <v>2.2736136866272725</v>
      </c>
      <c r="F23" s="4">
        <v>3.6792329940722374E-3</v>
      </c>
      <c r="G23" s="4">
        <v>5.1917941519446084E-3</v>
      </c>
      <c r="H23" s="4">
        <v>9.2138027821981605E-2</v>
      </c>
      <c r="I23" s="5">
        <v>0.70460999999999996</v>
      </c>
    </row>
    <row r="24" spans="1:9" x14ac:dyDescent="0.2">
      <c r="A24" t="s">
        <v>32</v>
      </c>
      <c r="C24">
        <v>107</v>
      </c>
      <c r="D24" t="s">
        <v>7</v>
      </c>
      <c r="E24" s="4">
        <v>2.0481746964641183</v>
      </c>
      <c r="F24" s="4">
        <v>3.3932674854288999E-3</v>
      </c>
      <c r="G24" s="4">
        <v>3.1043287566270201E-3</v>
      </c>
      <c r="H24" s="4">
        <v>9.5342050804641892E-2</v>
      </c>
      <c r="I24" s="5">
        <v>0.70452999999999999</v>
      </c>
    </row>
    <row r="25" spans="1:9" x14ac:dyDescent="0.2">
      <c r="A25" t="s">
        <v>33</v>
      </c>
      <c r="C25">
        <v>106</v>
      </c>
      <c r="D25" t="s">
        <v>7</v>
      </c>
      <c r="E25" s="4">
        <v>1.9610644446810759</v>
      </c>
      <c r="F25" s="4">
        <v>3.0756267797883447E-3</v>
      </c>
      <c r="G25" s="4">
        <v>3.8742291288182016E-3</v>
      </c>
      <c r="H25" s="4">
        <v>7.7898116881144383E-2</v>
      </c>
      <c r="I25" s="5">
        <v>0.7046</v>
      </c>
    </row>
    <row r="26" spans="1:9" x14ac:dyDescent="0.2">
      <c r="A26" t="s">
        <v>34</v>
      </c>
      <c r="C26">
        <v>100</v>
      </c>
      <c r="D26" t="s">
        <v>7</v>
      </c>
      <c r="E26" s="4">
        <v>1.9236781468368001</v>
      </c>
      <c r="F26" s="4">
        <v>2.8695990801825022E-3</v>
      </c>
      <c r="G26" s="4">
        <v>7.458284826149862E-3</v>
      </c>
      <c r="H26" s="4">
        <v>0.10007935261739725</v>
      </c>
      <c r="I26" s="5">
        <v>0.70448</v>
      </c>
    </row>
    <row r="27" spans="1:9" x14ac:dyDescent="0.2">
      <c r="A27" t="s">
        <v>35</v>
      </c>
      <c r="C27">
        <v>101</v>
      </c>
      <c r="D27" t="s">
        <v>7</v>
      </c>
      <c r="E27" s="4">
        <v>1.7840510410972186</v>
      </c>
      <c r="F27" s="4">
        <v>2.9398278388467988E-3</v>
      </c>
      <c r="G27" s="4">
        <v>8.2793941881407953E-3</v>
      </c>
      <c r="H27" s="4">
        <v>8.5700884215510642E-2</v>
      </c>
      <c r="I27" s="5">
        <v>0.70457999999999998</v>
      </c>
    </row>
    <row r="28" spans="1:9" x14ac:dyDescent="0.2">
      <c r="A28" t="s">
        <v>36</v>
      </c>
      <c r="C28">
        <v>102</v>
      </c>
      <c r="D28" t="s">
        <v>7</v>
      </c>
      <c r="E28" s="4">
        <v>2.4526957730289132</v>
      </c>
      <c r="F28" s="4">
        <v>3.5752256887223639E-3</v>
      </c>
      <c r="G28" s="4">
        <v>4.4334569747764225E-3</v>
      </c>
      <c r="H28" s="4">
        <v>0.11239822971276477</v>
      </c>
      <c r="I28" s="5">
        <v>0.7046</v>
      </c>
    </row>
    <row r="29" spans="1:9" x14ac:dyDescent="0.2">
      <c r="A29" t="s">
        <v>37</v>
      </c>
      <c r="C29">
        <v>103</v>
      </c>
      <c r="D29" t="s">
        <v>7</v>
      </c>
      <c r="E29" s="4">
        <v>1.9509068009595738</v>
      </c>
      <c r="F29" s="4">
        <v>3.1402754036627869E-3</v>
      </c>
      <c r="G29" s="4">
        <v>3.7665045667160499E-3</v>
      </c>
      <c r="H29" s="4">
        <v>9.4668670152951592E-2</v>
      </c>
      <c r="I29" s="5">
        <v>0.70448999999999995</v>
      </c>
    </row>
    <row r="30" spans="1:9" x14ac:dyDescent="0.2">
      <c r="A30" t="s">
        <v>38</v>
      </c>
      <c r="C30">
        <v>104</v>
      </c>
      <c r="D30" t="s">
        <v>7</v>
      </c>
      <c r="E30" s="4">
        <v>2.431644066873393</v>
      </c>
      <c r="F30" s="4">
        <v>3.6959474761459939E-3</v>
      </c>
      <c r="G30" s="4">
        <v>5.2361383398102429E-3</v>
      </c>
      <c r="H30" s="4">
        <v>7.8497138655633014E-2</v>
      </c>
      <c r="I30" s="5">
        <v>0.70457999999999998</v>
      </c>
    </row>
    <row r="31" spans="1:9" x14ac:dyDescent="0.2">
      <c r="A31" t="s">
        <v>39</v>
      </c>
      <c r="C31">
        <v>105</v>
      </c>
      <c r="D31" t="s">
        <v>7</v>
      </c>
      <c r="E31" s="4">
        <v>2.3152945291996407</v>
      </c>
      <c r="F31" s="4">
        <v>2.9769885316378803E-3</v>
      </c>
      <c r="G31" s="4">
        <v>3.6950949899293311E-3</v>
      </c>
      <c r="H31" s="4">
        <v>8.4816987263885188E-2</v>
      </c>
      <c r="I31" s="5">
        <v>0.70457999999999998</v>
      </c>
    </row>
    <row r="32" spans="1:9" x14ac:dyDescent="0.2">
      <c r="A32" t="s">
        <v>40</v>
      </c>
      <c r="C32">
        <v>99</v>
      </c>
      <c r="D32" t="s">
        <v>8</v>
      </c>
      <c r="E32" s="4">
        <v>1.7416687669119024</v>
      </c>
      <c r="F32" s="4">
        <v>3.126383620827667E-3</v>
      </c>
      <c r="G32" s="4">
        <v>1.1631257735499228E-2</v>
      </c>
      <c r="H32" s="4">
        <v>0.24781625167501017</v>
      </c>
      <c r="I32" s="5">
        <v>0.70504999999999995</v>
      </c>
    </row>
    <row r="33" spans="1:9" x14ac:dyDescent="0.2">
      <c r="A33" t="s">
        <v>41</v>
      </c>
      <c r="C33">
        <v>98</v>
      </c>
      <c r="D33" t="s">
        <v>8</v>
      </c>
      <c r="E33" s="4">
        <v>1.9946740799114853</v>
      </c>
      <c r="F33" s="4">
        <v>2.6265106991109895E-3</v>
      </c>
      <c r="G33" s="4">
        <v>1.1602742673098743E-2</v>
      </c>
      <c r="H33" s="4">
        <v>9.5715124291790563E-2</v>
      </c>
      <c r="I33" s="5">
        <v>0.70494999999999997</v>
      </c>
    </row>
    <row r="34" spans="1:9" x14ac:dyDescent="0.2">
      <c r="A34" t="s">
        <v>42</v>
      </c>
      <c r="C34">
        <v>91</v>
      </c>
      <c r="D34" t="s">
        <v>8</v>
      </c>
      <c r="E34" s="4">
        <v>1.8287747497926161</v>
      </c>
      <c r="F34" s="4">
        <v>2.8588679645473636E-3</v>
      </c>
      <c r="G34" s="4">
        <v>1.1808119561038692E-2</v>
      </c>
      <c r="H34" s="4">
        <v>0.1269654060367251</v>
      </c>
      <c r="I34" s="5">
        <v>0.70498000000000005</v>
      </c>
    </row>
    <row r="35" spans="1:9" x14ac:dyDescent="0.2">
      <c r="A35" t="s">
        <v>43</v>
      </c>
      <c r="C35">
        <v>92</v>
      </c>
      <c r="D35" t="s">
        <v>8</v>
      </c>
      <c r="E35" s="4">
        <v>1.8977799279765339</v>
      </c>
      <c r="F35" s="4">
        <v>2.9489553629730094E-3</v>
      </c>
      <c r="G35" s="4">
        <v>1.2770981793213815E-2</v>
      </c>
      <c r="H35" s="4">
        <v>8.4363978587799884E-2</v>
      </c>
      <c r="I35" s="5">
        <v>0.70492999999999995</v>
      </c>
    </row>
    <row r="36" spans="1:9" x14ac:dyDescent="0.2">
      <c r="A36" t="s">
        <v>44</v>
      </c>
      <c r="C36">
        <v>93</v>
      </c>
      <c r="D36" t="s">
        <v>8</v>
      </c>
      <c r="E36" s="4">
        <v>2.1394988805288278</v>
      </c>
      <c r="F36" s="4">
        <v>2.8944053796969315E-3</v>
      </c>
      <c r="G36" s="4">
        <v>8.2286528669273818E-3</v>
      </c>
      <c r="H36" s="4">
        <v>0.10191308854453032</v>
      </c>
      <c r="I36" s="5">
        <v>0.70496000000000003</v>
      </c>
    </row>
    <row r="37" spans="1:9" x14ac:dyDescent="0.2">
      <c r="A37" t="s">
        <v>45</v>
      </c>
      <c r="C37">
        <v>94</v>
      </c>
      <c r="D37" t="s">
        <v>8</v>
      </c>
      <c r="E37" s="4">
        <v>2.0581918522896676</v>
      </c>
      <c r="F37" s="4">
        <v>2.4371630778365363E-3</v>
      </c>
      <c r="G37" s="4">
        <v>1.6713430509720247E-2</v>
      </c>
      <c r="H37" s="4">
        <v>7.7476184975013046E-2</v>
      </c>
      <c r="I37" s="5">
        <v>0.70498000000000005</v>
      </c>
    </row>
    <row r="38" spans="1:9" x14ac:dyDescent="0.2">
      <c r="A38" t="s">
        <v>46</v>
      </c>
      <c r="C38">
        <v>95</v>
      </c>
      <c r="D38" t="s">
        <v>8</v>
      </c>
      <c r="E38" s="4">
        <v>1.8186853710859148</v>
      </c>
      <c r="F38" s="4">
        <v>2.1257717025769769E-3</v>
      </c>
      <c r="G38" s="4">
        <v>1.6708996805196635E-2</v>
      </c>
      <c r="H38" s="4">
        <v>8.4138168656980525E-2</v>
      </c>
      <c r="I38" s="5">
        <v>0.70498000000000005</v>
      </c>
    </row>
    <row r="39" spans="1:9" x14ac:dyDescent="0.2">
      <c r="A39" t="s">
        <v>47</v>
      </c>
      <c r="C39">
        <v>96</v>
      </c>
      <c r="D39" t="s">
        <v>8</v>
      </c>
      <c r="E39" s="4">
        <v>2.0790689388680312</v>
      </c>
      <c r="F39" s="4">
        <v>3.0530444490365714E-3</v>
      </c>
      <c r="G39" s="4">
        <v>1.0401565063211674E-2</v>
      </c>
      <c r="H39" s="4">
        <v>0.10338074937029765</v>
      </c>
      <c r="I39" s="5">
        <v>0.70494999999999997</v>
      </c>
    </row>
    <row r="40" spans="1:9" x14ac:dyDescent="0.2">
      <c r="A40" t="s">
        <v>48</v>
      </c>
      <c r="C40">
        <v>97</v>
      </c>
      <c r="D40" t="s">
        <v>8</v>
      </c>
      <c r="E40" s="4">
        <v>1.9380611287539344</v>
      </c>
      <c r="F40" s="4">
        <v>2.1213744158596008E-3</v>
      </c>
      <c r="G40" s="4">
        <v>1.3001683462121777E-2</v>
      </c>
      <c r="H40" s="4">
        <v>7.418875701359974E-2</v>
      </c>
      <c r="I40" s="5">
        <v>0.70498000000000005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5A0D-BD5E-48F2-834E-9F5F27A344DA}">
  <dimension ref="A1:X24"/>
  <sheetViews>
    <sheetView zoomScale="97" workbookViewId="0">
      <selection activeCell="G1" sqref="G1"/>
    </sheetView>
  </sheetViews>
  <sheetFormatPr baseColWidth="10" defaultColWidth="8.83203125" defaultRowHeight="15" x14ac:dyDescent="0.2"/>
  <cols>
    <col min="1" max="1" width="12.6640625" customWidth="1"/>
    <col min="6" max="6" width="10.5" customWidth="1"/>
    <col min="7" max="7" width="9.83203125" customWidth="1"/>
    <col min="19" max="19" width="13.83203125" customWidth="1"/>
  </cols>
  <sheetData>
    <row r="1" spans="1:24" x14ac:dyDescent="0.2">
      <c r="A1" s="8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9" t="s">
        <v>6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s="2" t="s">
        <v>7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s="3" t="s">
        <v>8</v>
      </c>
      <c r="T1" t="s">
        <v>1</v>
      </c>
      <c r="U1" t="s">
        <v>2</v>
      </c>
      <c r="V1" t="s">
        <v>3</v>
      </c>
      <c r="W1" t="s">
        <v>4</v>
      </c>
      <c r="X1" t="s">
        <v>5</v>
      </c>
    </row>
    <row r="2" spans="1:24" x14ac:dyDescent="0.2">
      <c r="A2">
        <v>132</v>
      </c>
      <c r="B2" s="4">
        <v>1.9502262759089135</v>
      </c>
      <c r="C2" s="4">
        <v>3.5139115841809894E-3</v>
      </c>
      <c r="D2" s="4">
        <v>2.0213881244176581E-2</v>
      </c>
      <c r="E2" s="4">
        <v>0.15118469871351803</v>
      </c>
      <c r="F2" s="5">
        <v>0.70482999999999996</v>
      </c>
      <c r="G2">
        <v>118</v>
      </c>
      <c r="H2" s="4">
        <v>2.0691907956783542</v>
      </c>
      <c r="I2" s="4">
        <v>2.9470872104795228E-3</v>
      </c>
      <c r="J2" s="4">
        <v>3.1746726225333854E-3</v>
      </c>
      <c r="K2" s="4">
        <v>8.2281130408854902E-2</v>
      </c>
      <c r="L2" s="5">
        <v>0.70476000000000005</v>
      </c>
      <c r="M2">
        <v>108</v>
      </c>
      <c r="N2" s="4">
        <v>2.2736136866272725</v>
      </c>
      <c r="O2" s="4">
        <v>3.6792329940722374E-3</v>
      </c>
      <c r="P2" s="4">
        <v>5.1917941519446084E-3</v>
      </c>
      <c r="Q2" s="4">
        <v>9.2138027821981605E-2</v>
      </c>
      <c r="R2" s="5">
        <v>0.70460999999999996</v>
      </c>
      <c r="S2">
        <v>99</v>
      </c>
      <c r="T2" s="4">
        <v>1.7416687669119024</v>
      </c>
      <c r="U2" s="4">
        <v>3.126383620827667E-3</v>
      </c>
      <c r="V2" s="4">
        <v>1.1631257735499228E-2</v>
      </c>
      <c r="W2" s="4">
        <v>0.24781625167501017</v>
      </c>
      <c r="X2" s="5">
        <v>0.70504999999999995</v>
      </c>
    </row>
    <row r="3" spans="1:24" x14ac:dyDescent="0.2">
      <c r="A3">
        <v>131</v>
      </c>
      <c r="B3" s="4">
        <v>1.6334854639054963</v>
      </c>
      <c r="C3" s="4">
        <v>1.8124759428058607E-3</v>
      </c>
      <c r="D3" s="4">
        <v>9.1917683995755874E-3</v>
      </c>
      <c r="E3" s="4">
        <v>9.034146555909868E-2</v>
      </c>
      <c r="F3" s="5">
        <v>0.70494000000000001</v>
      </c>
      <c r="G3">
        <v>117</v>
      </c>
      <c r="H3" s="4">
        <v>1.7906156037184731</v>
      </c>
      <c r="I3" s="4">
        <v>4.4969219911409142E-3</v>
      </c>
      <c r="J3" s="4">
        <v>2.7100368172033269E-2</v>
      </c>
      <c r="K3" s="4">
        <v>0.10761295003138395</v>
      </c>
      <c r="L3" s="5">
        <v>0.70496999999999999</v>
      </c>
      <c r="M3">
        <v>107</v>
      </c>
      <c r="N3" s="4">
        <v>2.0481746964641183</v>
      </c>
      <c r="O3" s="4">
        <v>3.3932674854288999E-3</v>
      </c>
      <c r="P3" s="4">
        <v>3.1043287566270201E-3</v>
      </c>
      <c r="Q3" s="4">
        <v>9.5342050804641892E-2</v>
      </c>
      <c r="R3" s="5">
        <v>0.70452999999999999</v>
      </c>
      <c r="S3">
        <v>98</v>
      </c>
      <c r="T3" s="4">
        <v>1.9946740799114853</v>
      </c>
      <c r="U3" s="4">
        <v>2.6265106991109895E-3</v>
      </c>
      <c r="V3" s="4">
        <v>1.1602742673098743E-2</v>
      </c>
      <c r="W3" s="4">
        <v>9.5715124291790563E-2</v>
      </c>
      <c r="X3" s="5">
        <v>0.70494999999999997</v>
      </c>
    </row>
    <row r="4" spans="1:24" x14ac:dyDescent="0.2">
      <c r="A4">
        <v>129</v>
      </c>
      <c r="B4" s="4">
        <v>1.8136514436739635</v>
      </c>
      <c r="C4" s="4">
        <v>2.9607864096005089E-3</v>
      </c>
      <c r="D4" s="4">
        <v>8.766727862147633E-3</v>
      </c>
      <c r="E4" s="4">
        <v>9.3665746292177263E-2</v>
      </c>
      <c r="F4" s="5">
        <v>0.70491999999999999</v>
      </c>
      <c r="G4">
        <v>116</v>
      </c>
      <c r="H4" s="4">
        <v>1.867594295171767</v>
      </c>
      <c r="I4" s="4">
        <v>2.430573772415854E-3</v>
      </c>
      <c r="J4" s="4">
        <v>6.4795191947086767E-3</v>
      </c>
      <c r="K4" s="4">
        <v>0.14150126358308959</v>
      </c>
      <c r="L4" s="5">
        <v>0.70477999999999996</v>
      </c>
      <c r="M4">
        <v>106</v>
      </c>
      <c r="N4" s="4">
        <v>1.9610644446810759</v>
      </c>
      <c r="O4" s="4">
        <v>3.0756267797883447E-3</v>
      </c>
      <c r="P4" s="4">
        <v>3.8742291288182016E-3</v>
      </c>
      <c r="Q4" s="4">
        <v>7.7898116881144383E-2</v>
      </c>
      <c r="R4" s="5">
        <v>0.7046</v>
      </c>
      <c r="S4">
        <v>91</v>
      </c>
      <c r="T4" s="4">
        <v>1.8287747497926161</v>
      </c>
      <c r="U4" s="4">
        <v>2.8588679645473636E-3</v>
      </c>
      <c r="V4" s="4">
        <v>1.1808119561038692E-2</v>
      </c>
      <c r="W4" s="4">
        <v>0.1269654060367251</v>
      </c>
      <c r="X4" s="5">
        <v>0.70498000000000005</v>
      </c>
    </row>
    <row r="5" spans="1:24" x14ac:dyDescent="0.2">
      <c r="A5">
        <v>128</v>
      </c>
      <c r="B5" s="4">
        <v>1.7350900456690241</v>
      </c>
      <c r="C5" s="4">
        <v>3.289387264704059E-3</v>
      </c>
      <c r="D5" s="4">
        <v>2.2881482938726501E-2</v>
      </c>
      <c r="E5" s="4">
        <v>9.2729907368663378E-2</v>
      </c>
      <c r="F5" s="5">
        <v>0.70491000000000004</v>
      </c>
      <c r="G5">
        <v>115</v>
      </c>
      <c r="H5" s="4">
        <v>1.8567706947089262</v>
      </c>
      <c r="I5" s="4">
        <v>3.9724594324958614E-3</v>
      </c>
      <c r="J5" s="4">
        <v>2.485628009252602E-2</v>
      </c>
      <c r="K5" s="4">
        <v>0.14105116176661242</v>
      </c>
      <c r="L5" s="5">
        <v>0.70492999999999995</v>
      </c>
      <c r="M5">
        <v>100</v>
      </c>
      <c r="N5" s="4">
        <v>1.9236781468368001</v>
      </c>
      <c r="O5" s="4">
        <v>2.8695990801825022E-3</v>
      </c>
      <c r="P5" s="4">
        <v>7.458284826149862E-3</v>
      </c>
      <c r="Q5" s="4">
        <v>0.10007935261739725</v>
      </c>
      <c r="R5" s="5">
        <v>0.70448</v>
      </c>
      <c r="S5">
        <v>92</v>
      </c>
      <c r="T5" s="4">
        <v>1.8977799279765339</v>
      </c>
      <c r="U5" s="4">
        <v>2.9489553629730094E-3</v>
      </c>
      <c r="V5" s="4">
        <v>1.2770981793213815E-2</v>
      </c>
      <c r="W5" s="4">
        <v>8.4363978587799884E-2</v>
      </c>
      <c r="X5" s="5">
        <v>0.70492999999999995</v>
      </c>
    </row>
    <row r="6" spans="1:24" x14ac:dyDescent="0.2">
      <c r="A6">
        <v>126</v>
      </c>
      <c r="B6" s="4">
        <v>1.7747243566174828</v>
      </c>
      <c r="C6" s="4">
        <v>2.8695048311935104E-3</v>
      </c>
      <c r="D6" s="4">
        <v>1.5268807088713428E-2</v>
      </c>
      <c r="E6" s="4">
        <v>9.4367295846143215E-2</v>
      </c>
      <c r="F6" s="5">
        <v>0.70489000000000002</v>
      </c>
      <c r="G6">
        <v>109</v>
      </c>
      <c r="H6" s="4">
        <v>2.0453971498871248</v>
      </c>
      <c r="I6" s="4">
        <v>2.3982486799529155E-3</v>
      </c>
      <c r="J6" s="4">
        <v>5.8015827847605391E-3</v>
      </c>
      <c r="K6" s="4">
        <v>8.687165525709091E-2</v>
      </c>
      <c r="L6" s="5">
        <v>0.70479999999999998</v>
      </c>
      <c r="M6">
        <v>101</v>
      </c>
      <c r="N6" s="4">
        <v>1.7840510410972186</v>
      </c>
      <c r="O6" s="4">
        <v>2.9398278388467988E-3</v>
      </c>
      <c r="P6" s="4">
        <v>8.2793941881407953E-3</v>
      </c>
      <c r="Q6" s="4">
        <v>8.5700884215510642E-2</v>
      </c>
      <c r="R6" s="5">
        <v>0.70457999999999998</v>
      </c>
      <c r="S6">
        <v>93</v>
      </c>
      <c r="T6" s="4">
        <v>2.1394988805288278</v>
      </c>
      <c r="U6" s="4">
        <v>2.8944053796969315E-3</v>
      </c>
      <c r="V6" s="4">
        <v>8.2286528669273818E-3</v>
      </c>
      <c r="W6" s="4">
        <v>0.10191308854453032</v>
      </c>
      <c r="X6" s="5">
        <v>0.70496000000000003</v>
      </c>
    </row>
    <row r="7" spans="1:24" x14ac:dyDescent="0.2">
      <c r="A7" s="6">
        <v>119</v>
      </c>
      <c r="B7" s="4">
        <v>1.8317516351611081</v>
      </c>
      <c r="C7" s="4">
        <v>3.5326596424417509E-3</v>
      </c>
      <c r="D7" s="4">
        <v>1.6701496961485311E-2</v>
      </c>
      <c r="E7" s="4">
        <v>8.7322776941304248E-2</v>
      </c>
      <c r="F7" s="5">
        <v>0.70503000000000005</v>
      </c>
      <c r="G7">
        <v>110</v>
      </c>
      <c r="H7" s="4">
        <v>1.9761067508172727</v>
      </c>
      <c r="I7" s="4">
        <v>3.501238974317583E-3</v>
      </c>
      <c r="J7" s="4">
        <v>9.2859699180962377E-3</v>
      </c>
      <c r="K7" s="4">
        <v>8.2748027436621754E-2</v>
      </c>
      <c r="L7" s="5">
        <v>0.70470999999999995</v>
      </c>
      <c r="M7">
        <v>102</v>
      </c>
      <c r="N7" s="4">
        <v>2.4526957730289132</v>
      </c>
      <c r="O7" s="4">
        <v>3.5752256887223639E-3</v>
      </c>
      <c r="P7" s="4">
        <v>4.4334569747764225E-3</v>
      </c>
      <c r="Q7" s="4">
        <v>0.11239822971276477</v>
      </c>
      <c r="R7" s="5">
        <v>0.7046</v>
      </c>
      <c r="S7">
        <v>94</v>
      </c>
      <c r="T7" s="4">
        <v>2.0581918522896676</v>
      </c>
      <c r="U7" s="4">
        <v>2.4371630778365363E-3</v>
      </c>
      <c r="V7" s="4">
        <v>1.6713430509720247E-2</v>
      </c>
      <c r="W7" s="4">
        <v>7.7476184975013046E-2</v>
      </c>
      <c r="X7" s="5">
        <v>0.70498000000000005</v>
      </c>
    </row>
    <row r="8" spans="1:24" x14ac:dyDescent="0.2">
      <c r="A8" s="6">
        <v>120</v>
      </c>
      <c r="B8" s="4">
        <v>1.9368278922732531</v>
      </c>
      <c r="C8" s="4">
        <v>3.0082909985054834E-3</v>
      </c>
      <c r="D8" s="4">
        <v>1.0510450582425843E-2</v>
      </c>
      <c r="E8" s="4">
        <v>8.0774360663842679E-2</v>
      </c>
      <c r="F8" s="5">
        <v>0.70481000000000005</v>
      </c>
      <c r="G8">
        <v>111</v>
      </c>
      <c r="H8" s="4">
        <v>1.9115735365971502</v>
      </c>
      <c r="I8" s="4">
        <v>4.4148561149823986E-3</v>
      </c>
      <c r="J8" s="4">
        <v>1.7413524527642565E-2</v>
      </c>
      <c r="K8" s="4">
        <v>8.530648457457414E-2</v>
      </c>
      <c r="L8" s="5">
        <v>0.70491000000000004</v>
      </c>
      <c r="M8">
        <v>103</v>
      </c>
      <c r="N8" s="4">
        <v>1.9509068009595738</v>
      </c>
      <c r="O8" s="4">
        <v>3.1402754036627869E-3</v>
      </c>
      <c r="P8" s="4">
        <v>3.7665045667160499E-3</v>
      </c>
      <c r="Q8" s="4">
        <v>9.4668670152951592E-2</v>
      </c>
      <c r="R8" s="5">
        <v>0.70448999999999995</v>
      </c>
      <c r="S8">
        <v>95</v>
      </c>
      <c r="T8" s="4">
        <v>1.8186853710859148</v>
      </c>
      <c r="U8" s="4">
        <v>2.1257717025769769E-3</v>
      </c>
      <c r="V8" s="4">
        <v>1.6708996805196635E-2</v>
      </c>
      <c r="W8" s="4">
        <v>8.4138168656980525E-2</v>
      </c>
      <c r="X8" s="5">
        <v>0.70498000000000005</v>
      </c>
    </row>
    <row r="9" spans="1:24" x14ac:dyDescent="0.2">
      <c r="A9">
        <v>121</v>
      </c>
      <c r="B9" s="4">
        <v>1.9391145970231509</v>
      </c>
      <c r="C9" s="4">
        <v>2.9230148975113849E-3</v>
      </c>
      <c r="D9" s="4">
        <v>1.4488863025424839E-2</v>
      </c>
      <c r="E9" s="4">
        <v>7.4263228534824546E-2</v>
      </c>
      <c r="F9" s="5">
        <v>0.70496000000000003</v>
      </c>
      <c r="G9">
        <v>112</v>
      </c>
      <c r="H9" s="4">
        <v>1.7841488373020118</v>
      </c>
      <c r="I9" s="4">
        <v>2.7387879788849561E-3</v>
      </c>
      <c r="J9" s="4">
        <v>1.3562407028099622E-2</v>
      </c>
      <c r="K9" s="4">
        <v>7.8118196238688542E-2</v>
      </c>
      <c r="L9" s="5">
        <v>0.70482999999999996</v>
      </c>
      <c r="M9">
        <v>104</v>
      </c>
      <c r="N9" s="4">
        <v>2.431644066873393</v>
      </c>
      <c r="O9" s="4">
        <v>3.6959474761459939E-3</v>
      </c>
      <c r="P9" s="4">
        <v>5.2361383398102429E-3</v>
      </c>
      <c r="Q9" s="4">
        <v>7.8497138655633014E-2</v>
      </c>
      <c r="R9" s="5">
        <v>0.70457999999999998</v>
      </c>
      <c r="S9">
        <v>96</v>
      </c>
      <c r="T9" s="4">
        <v>2.0790689388680312</v>
      </c>
      <c r="U9" s="4">
        <v>3.0530444490365714E-3</v>
      </c>
      <c r="V9" s="4">
        <v>1.0401565063211674E-2</v>
      </c>
      <c r="W9" s="4">
        <v>0.10338074937029765</v>
      </c>
      <c r="X9" s="5">
        <v>0.70494999999999997</v>
      </c>
    </row>
    <row r="10" spans="1:24" x14ac:dyDescent="0.2">
      <c r="A10">
        <v>122</v>
      </c>
      <c r="B10" s="4">
        <v>1.810698808508894</v>
      </c>
      <c r="C10" s="4">
        <v>2.6936586773004126E-3</v>
      </c>
      <c r="D10" s="4">
        <v>1.2336504210518703E-2</v>
      </c>
      <c r="E10" s="4">
        <v>0.11186453403958939</v>
      </c>
      <c r="F10" s="5">
        <v>0.70489999999999997</v>
      </c>
      <c r="G10">
        <v>113</v>
      </c>
      <c r="H10" s="4">
        <v>1.9989670735418961</v>
      </c>
      <c r="I10" s="4">
        <v>2.4046561434459867E-3</v>
      </c>
      <c r="J10" s="4">
        <v>6.3649355434005047E-3</v>
      </c>
      <c r="K10" s="4">
        <v>8.1164854923117313E-2</v>
      </c>
      <c r="L10" s="5">
        <v>0.70472000000000001</v>
      </c>
      <c r="M10">
        <v>105</v>
      </c>
      <c r="N10" s="4">
        <v>2.3152945291996407</v>
      </c>
      <c r="O10" s="4">
        <v>2.9769885316378803E-3</v>
      </c>
      <c r="P10" s="4">
        <v>3.6950949899293311E-3</v>
      </c>
      <c r="Q10" s="4">
        <v>8.4816987263885188E-2</v>
      </c>
      <c r="R10" s="5">
        <v>0.70457999999999998</v>
      </c>
      <c r="S10">
        <v>97</v>
      </c>
      <c r="T10" s="4">
        <v>1.9380611287539344</v>
      </c>
      <c r="U10" s="4">
        <v>2.1213744158596008E-3</v>
      </c>
      <c r="V10" s="4">
        <v>1.3001683462121777E-2</v>
      </c>
      <c r="W10" s="4">
        <v>7.418875701359974E-2</v>
      </c>
      <c r="X10" s="5">
        <v>0.70498000000000005</v>
      </c>
    </row>
    <row r="11" spans="1:24" x14ac:dyDescent="0.2">
      <c r="A11">
        <v>123</v>
      </c>
      <c r="B11" s="4">
        <v>1.8661557411010605</v>
      </c>
      <c r="C11" s="4">
        <v>4.6439175211744517E-3</v>
      </c>
      <c r="D11" s="4">
        <v>4.2890052966052562E-2</v>
      </c>
      <c r="E11" s="4">
        <v>8.6317989917465809E-2</v>
      </c>
      <c r="F11" s="5">
        <v>0.70486000000000004</v>
      </c>
      <c r="G11">
        <v>114</v>
      </c>
      <c r="H11" s="4">
        <v>1.9644871732896756</v>
      </c>
      <c r="I11" s="4">
        <v>2.2522366498052434E-3</v>
      </c>
      <c r="J11" s="4">
        <v>6.5129054168927038E-3</v>
      </c>
      <c r="K11" s="4">
        <v>7.0973101985284129E-2</v>
      </c>
      <c r="L11" s="5">
        <v>0.70477000000000001</v>
      </c>
    </row>
    <row r="12" spans="1:24" x14ac:dyDescent="0.2">
      <c r="A12">
        <v>125</v>
      </c>
      <c r="B12" s="4">
        <v>1.9633772744714273</v>
      </c>
      <c r="C12" s="4">
        <v>2.6725899871375856E-3</v>
      </c>
      <c r="D12" s="4">
        <v>9.731611833843766E-3</v>
      </c>
      <c r="E12" s="4">
        <v>8.5442177874592004E-2</v>
      </c>
      <c r="F12" s="5">
        <v>0.70487</v>
      </c>
    </row>
    <row r="14" spans="1:24" x14ac:dyDescent="0.2">
      <c r="A14" t="s">
        <v>9</v>
      </c>
      <c r="B14" s="7">
        <f>AVERAGE(B2:B12)</f>
        <v>1.8413730485739797</v>
      </c>
      <c r="C14" s="7">
        <f t="shared" ref="C14:F14" si="0">AVERAGE(C2:C12)</f>
        <v>3.0836543415050906E-3</v>
      </c>
      <c r="D14" s="7">
        <f t="shared" si="0"/>
        <v>1.6634695192099161E-2</v>
      </c>
      <c r="E14" s="7">
        <f t="shared" si="0"/>
        <v>9.529765288647446E-2</v>
      </c>
      <c r="F14" s="7">
        <f t="shared" si="0"/>
        <v>0.70490181818181818</v>
      </c>
      <c r="H14" s="7">
        <f>AVERAGE(H2:H11)</f>
        <v>1.926485191071265</v>
      </c>
      <c r="I14" s="7">
        <f t="shared" ref="I14:L14" si="1">AVERAGE(I2:I11)</f>
        <v>3.155706694792123E-3</v>
      </c>
      <c r="J14" s="7">
        <f t="shared" si="1"/>
        <v>1.2055216530069354E-2</v>
      </c>
      <c r="K14" s="7">
        <f t="shared" si="1"/>
        <v>9.5762882620531772E-2</v>
      </c>
      <c r="L14" s="7">
        <f t="shared" si="1"/>
        <v>0.70481800000000006</v>
      </c>
      <c r="M14" s="4"/>
      <c r="N14" s="7">
        <f>AVERAGE(N2:N10)</f>
        <v>2.1267914650853341</v>
      </c>
      <c r="O14" s="7">
        <f t="shared" ref="O14:R14" si="2">AVERAGE(O2:O10)</f>
        <v>3.2606656976097567E-3</v>
      </c>
      <c r="P14" s="7">
        <f t="shared" si="2"/>
        <v>5.00435843587917E-3</v>
      </c>
      <c r="Q14" s="7">
        <f t="shared" si="2"/>
        <v>9.1282162013990031E-2</v>
      </c>
      <c r="R14" s="7">
        <f t="shared" si="2"/>
        <v>0.70456111111111108</v>
      </c>
      <c r="S14" s="4"/>
      <c r="T14" s="7">
        <f>AVERAGE(T2:T10)</f>
        <v>1.9440448551243235</v>
      </c>
      <c r="U14" s="7">
        <f t="shared" ref="U14:X14" si="3">AVERAGE(U2:U10)</f>
        <v>2.6880529636072936E-3</v>
      </c>
      <c r="V14" s="7">
        <f t="shared" si="3"/>
        <v>1.2540825607780909E-2</v>
      </c>
      <c r="W14" s="7">
        <f t="shared" si="3"/>
        <v>0.11066196768352744</v>
      </c>
      <c r="X14" s="7">
        <f t="shared" si="3"/>
        <v>0.70497333333333334</v>
      </c>
    </row>
    <row r="15" spans="1:24" x14ac:dyDescent="0.2">
      <c r="A15" t="s">
        <v>10</v>
      </c>
      <c r="B15" s="4">
        <f>STDEV(B2:B12)</f>
        <v>0.10332986801937742</v>
      </c>
      <c r="C15" s="4">
        <f t="shared" ref="C15:X15" si="4">STDEV(C2:C12)</f>
        <v>6.9949128153292003E-4</v>
      </c>
      <c r="D15" s="4">
        <f t="shared" si="4"/>
        <v>9.8416812436103521E-3</v>
      </c>
      <c r="E15" s="4">
        <f t="shared" si="4"/>
        <v>2.0802032692782028E-2</v>
      </c>
      <c r="F15" s="4">
        <f>STDEV(F2:F12)</f>
        <v>6.1776724066307277E-5</v>
      </c>
      <c r="G15" s="4"/>
      <c r="H15" s="4">
        <f t="shared" si="4"/>
        <v>0.10051854726596504</v>
      </c>
      <c r="I15" s="4">
        <f t="shared" si="4"/>
        <v>8.735643512134424E-4</v>
      </c>
      <c r="J15" s="4">
        <f t="shared" si="4"/>
        <v>8.439540119935798E-3</v>
      </c>
      <c r="K15" s="4">
        <f t="shared" si="4"/>
        <v>2.5737902649426079E-2</v>
      </c>
      <c r="L15" s="4">
        <f t="shared" si="4"/>
        <v>9.0037029419378641E-5</v>
      </c>
      <c r="M15" s="4"/>
      <c r="N15" s="4">
        <f t="shared" si="4"/>
        <v>0.24483320129037786</v>
      </c>
      <c r="O15" s="4">
        <f t="shared" si="4"/>
        <v>3.2906610656062782E-4</v>
      </c>
      <c r="P15" s="4">
        <f t="shared" si="4"/>
        <v>1.7782067674447695E-3</v>
      </c>
      <c r="Q15" s="4">
        <f t="shared" si="4"/>
        <v>1.0997165265568985E-2</v>
      </c>
      <c r="R15" s="4">
        <f t="shared" si="4"/>
        <v>4.8847836299180489E-5</v>
      </c>
      <c r="S15" s="4"/>
      <c r="T15" s="4">
        <f t="shared" si="4"/>
        <v>0.13423913436897461</v>
      </c>
      <c r="U15" s="4">
        <f t="shared" si="4"/>
        <v>3.8229564373446043E-4</v>
      </c>
      <c r="V15" s="4">
        <f t="shared" si="4"/>
        <v>2.7492063743998771E-3</v>
      </c>
      <c r="W15" s="4">
        <f t="shared" si="4"/>
        <v>5.3917476629652433E-2</v>
      </c>
      <c r="X15" s="4">
        <f t="shared" si="4"/>
        <v>3.3911649915631608E-5</v>
      </c>
    </row>
    <row r="16" spans="1:24" x14ac:dyDescent="0.2">
      <c r="A16" t="s">
        <v>13</v>
      </c>
      <c r="B16" s="4">
        <f>STDEVP(B2:B12) / SQRT(COUNT(B2:B12))</f>
        <v>2.97052484787113E-2</v>
      </c>
      <c r="C16" s="4">
        <f t="shared" ref="C16:F16" si="5">STDEVP(C2:C12) / SQRT(COUNT(C2:C12))</f>
        <v>2.010896048249185E-4</v>
      </c>
      <c r="D16" s="4">
        <f t="shared" si="5"/>
        <v>2.8292844304697424E-3</v>
      </c>
      <c r="E16" s="4">
        <f t="shared" si="5"/>
        <v>5.9801639336797179E-3</v>
      </c>
      <c r="F16" s="4">
        <f t="shared" si="5"/>
        <v>1.7759559493933619E-5</v>
      </c>
      <c r="G16" s="4"/>
      <c r="H16" s="4">
        <f>STDEVP(H2:H11) / SQRT(COUNT(H2:H11))</f>
        <v>3.0155564179789505E-2</v>
      </c>
      <c r="I16" s="4">
        <f t="shared" ref="I16:L16" si="6">STDEVP(I2:I11) / SQRT(COUNT(I2:I11))</f>
        <v>2.620693053640327E-4</v>
      </c>
      <c r="J16" s="4">
        <f t="shared" si="6"/>
        <v>2.5318620359807394E-3</v>
      </c>
      <c r="K16" s="4">
        <f t="shared" si="6"/>
        <v>7.7213707948278225E-3</v>
      </c>
      <c r="L16" s="4">
        <f t="shared" si="6"/>
        <v>2.7011108825813594E-5</v>
      </c>
      <c r="M16" s="4"/>
      <c r="N16" s="4">
        <f>STDEVP(N2:N10) / SQRT(COUNT(N2:N10))</f>
        <v>7.6943651952016454E-2</v>
      </c>
      <c r="O16" s="4">
        <f t="shared" ref="O16:R16" si="7">STDEVP(O2:O10) / SQRT(COUNT(O2:O10))</f>
        <v>1.0341550018118888E-4</v>
      </c>
      <c r="P16" s="4">
        <f t="shared" si="7"/>
        <v>5.5883647271644742E-4</v>
      </c>
      <c r="Q16" s="4">
        <f t="shared" si="7"/>
        <v>3.4560756147168949E-3</v>
      </c>
      <c r="R16" s="4">
        <f t="shared" si="7"/>
        <v>1.5351393908195961E-5</v>
      </c>
      <c r="S16" s="4"/>
      <c r="T16" s="4">
        <f>STDEVP(T2:T10) / SQRT(COUNT(T2:T10))</f>
        <v>4.2187289872406268E-2</v>
      </c>
      <c r="U16" s="4">
        <f t="shared" ref="U16:X16" si="8">STDEVP(U2:U10) / SQRT(COUNT(U2:U10))</f>
        <v>1.2014392982342819E-4</v>
      </c>
      <c r="V16" s="4">
        <f t="shared" si="8"/>
        <v>8.639922089864159E-4</v>
      </c>
      <c r="W16" s="4">
        <f t="shared" si="8"/>
        <v>1.6944628155241968E-2</v>
      </c>
      <c r="X16" s="4">
        <f t="shared" si="8"/>
        <v>1.065740338514103E-5</v>
      </c>
    </row>
    <row r="17" spans="1:24" x14ac:dyDescent="0.2">
      <c r="A17" t="s">
        <v>11</v>
      </c>
      <c r="B17" s="4">
        <f>MIN(B2:B12)</f>
        <v>1.6334854639054963</v>
      </c>
      <c r="C17" s="4">
        <f t="shared" ref="C17:X17" si="9">MIN(C2:C12)</f>
        <v>1.8124759428058607E-3</v>
      </c>
      <c r="D17" s="4">
        <f t="shared" si="9"/>
        <v>8.766727862147633E-3</v>
      </c>
      <c r="E17" s="4">
        <f t="shared" si="9"/>
        <v>7.4263228534824546E-2</v>
      </c>
      <c r="F17" s="4">
        <f t="shared" si="9"/>
        <v>0.70481000000000005</v>
      </c>
      <c r="G17" s="4"/>
      <c r="H17" s="4">
        <f t="shared" si="9"/>
        <v>1.7841488373020118</v>
      </c>
      <c r="I17" s="4">
        <f t="shared" si="9"/>
        <v>2.2522366498052434E-3</v>
      </c>
      <c r="J17" s="4">
        <f t="shared" si="9"/>
        <v>3.1746726225333854E-3</v>
      </c>
      <c r="K17" s="4">
        <f t="shared" si="9"/>
        <v>7.0973101985284129E-2</v>
      </c>
      <c r="L17" s="4">
        <f>MIN(L2:L12)</f>
        <v>0.70470999999999995</v>
      </c>
      <c r="M17" s="4"/>
      <c r="N17" s="4">
        <f t="shared" si="9"/>
        <v>1.7840510410972186</v>
      </c>
      <c r="O17" s="4">
        <f t="shared" si="9"/>
        <v>2.8695990801825022E-3</v>
      </c>
      <c r="P17" s="4">
        <f t="shared" si="9"/>
        <v>3.1043287566270201E-3</v>
      </c>
      <c r="Q17" s="4">
        <f t="shared" si="9"/>
        <v>7.7898116881144383E-2</v>
      </c>
      <c r="R17" s="4">
        <f t="shared" si="9"/>
        <v>0.70448</v>
      </c>
      <c r="S17" s="4"/>
      <c r="T17" s="4">
        <f t="shared" si="9"/>
        <v>1.7416687669119024</v>
      </c>
      <c r="U17" s="4">
        <f t="shared" si="9"/>
        <v>2.1213744158596008E-3</v>
      </c>
      <c r="V17" s="4">
        <f t="shared" si="9"/>
        <v>8.2286528669273818E-3</v>
      </c>
      <c r="W17" s="4">
        <f t="shared" si="9"/>
        <v>7.418875701359974E-2</v>
      </c>
      <c r="X17" s="4">
        <f t="shared" si="9"/>
        <v>0.70492999999999995</v>
      </c>
    </row>
    <row r="18" spans="1:24" x14ac:dyDescent="0.2">
      <c r="A18" t="s">
        <v>12</v>
      </c>
      <c r="B18" s="4">
        <f>MAX(B2:B12)</f>
        <v>1.9633772744714273</v>
      </c>
      <c r="C18" s="4">
        <f t="shared" ref="C18:X18" si="10">MAX(C2:C12)</f>
        <v>4.6439175211744517E-3</v>
      </c>
      <c r="D18" s="4">
        <f t="shared" si="10"/>
        <v>4.2890052966052562E-2</v>
      </c>
      <c r="E18" s="4">
        <f t="shared" si="10"/>
        <v>0.15118469871351803</v>
      </c>
      <c r="F18" s="4">
        <f t="shared" si="10"/>
        <v>0.70503000000000005</v>
      </c>
      <c r="G18" s="4"/>
      <c r="H18" s="4">
        <f t="shared" si="10"/>
        <v>2.0691907956783542</v>
      </c>
      <c r="I18" s="4">
        <f t="shared" si="10"/>
        <v>4.4969219911409142E-3</v>
      </c>
      <c r="J18" s="4">
        <f t="shared" si="10"/>
        <v>2.7100368172033269E-2</v>
      </c>
      <c r="K18" s="4">
        <f t="shared" si="10"/>
        <v>0.14150126358308959</v>
      </c>
      <c r="L18" s="4">
        <f t="shared" si="10"/>
        <v>0.70496999999999999</v>
      </c>
      <c r="M18" s="4"/>
      <c r="N18" s="4">
        <f t="shared" si="10"/>
        <v>2.4526957730289132</v>
      </c>
      <c r="O18" s="4">
        <f t="shared" si="10"/>
        <v>3.6959474761459939E-3</v>
      </c>
      <c r="P18" s="4">
        <f t="shared" si="10"/>
        <v>8.2793941881407953E-3</v>
      </c>
      <c r="Q18" s="4">
        <f t="shared" si="10"/>
        <v>0.11239822971276477</v>
      </c>
      <c r="R18" s="4">
        <f t="shared" si="10"/>
        <v>0.70460999999999996</v>
      </c>
      <c r="S18" s="4"/>
      <c r="T18" s="4">
        <f t="shared" si="10"/>
        <v>2.1394988805288278</v>
      </c>
      <c r="U18" s="4">
        <f t="shared" si="10"/>
        <v>3.126383620827667E-3</v>
      </c>
      <c r="V18" s="4">
        <f t="shared" si="10"/>
        <v>1.6713430509720247E-2</v>
      </c>
      <c r="W18" s="4">
        <f t="shared" si="10"/>
        <v>0.24781625167501017</v>
      </c>
      <c r="X18" s="4">
        <f t="shared" si="10"/>
        <v>0.70504999999999995</v>
      </c>
    </row>
    <row r="24" spans="1:24" x14ac:dyDescent="0.2">
      <c r="O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Resuts</vt:lpstr>
      <vt:lpstr>NZ YOY trout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Mehis Rohtla</dc:creator>
  <cp:lastModifiedBy>Raven, Olivier (Student)</cp:lastModifiedBy>
  <dcterms:created xsi:type="dcterms:W3CDTF">2015-06-05T18:17:20Z</dcterms:created>
  <dcterms:modified xsi:type="dcterms:W3CDTF">2025-09-24T11:46:41Z</dcterms:modified>
</cp:coreProperties>
</file>